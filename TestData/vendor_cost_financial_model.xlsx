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Vendor Quotes" sheetId="2" state="visible" r:id="rId4"/>
    <sheet name="TCO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<sst xmlns="http://schemas.openxmlformats.org/spreadsheetml/2006/main" count="50" uniqueCount="47">
  <si>
    <t xml:space="preserve">Vendor Cost Comparison - Replacement Centrifugal Pumps (P-101A/B)</t>
  </si>
  <si>
    <t xml:space="preserve">Unit 100 - Feed Pump Package | Procurement Ref: PR-2026-0341</t>
  </si>
  <si>
    <t xml:space="preserve">Key Assumptions</t>
  </si>
  <si>
    <t xml:space="preserve">Number of pump sets required</t>
  </si>
  <si>
    <t xml:space="preserve">Evaluation period (years)</t>
  </si>
  <si>
    <t xml:space="preserve">Discount rate (for NPV)</t>
  </si>
  <si>
    <t xml:space="preserve">Electricity tariff</t>
  </si>
  <si>
    <t xml:space="preserve">Operating hours per year</t>
  </si>
  <si>
    <t xml:space="preserve">USD to INR rate (for imported vendor)</t>
  </si>
  <si>
    <t xml:space="preserve">Note: Blue = input (edit here). Black = formula (do not overwrite). Yellow fill = assumption to confirm before issuing PO.</t>
  </si>
  <si>
    <t xml:space="preserve">Line Item</t>
  </si>
  <si>
    <t xml:space="preserve">Vendor A - Kirloskar</t>
  </si>
  <si>
    <t xml:space="preserve">Vendor B - Grundfos (Import)</t>
  </si>
  <si>
    <t xml:space="preserve">Vendor C - WPIL</t>
  </si>
  <si>
    <t xml:space="preserve">Notes</t>
  </si>
  <si>
    <t xml:space="preserve">Base equipment price per set (Rs.)</t>
  </si>
  <si>
    <t xml:space="preserve">As per quotation, ex-works</t>
  </si>
  <si>
    <t xml:space="preserve">Freight &amp; insurance (Rs. per set)</t>
  </si>
  <si>
    <t xml:space="preserve">Vendor B is imported (EU)</t>
  </si>
  <si>
    <t xml:space="preserve">Installation &amp; commissioning (Rs. per set)</t>
  </si>
  <si>
    <t xml:space="preserve">Number of pump sets</t>
  </si>
  <si>
    <t xml:space="preserve">Linked to Assumptions</t>
  </si>
  <si>
    <t xml:space="preserve">Rated motor power (kW)</t>
  </si>
  <si>
    <t xml:space="preserve">Affects running cost</t>
  </si>
  <si>
    <t xml:space="preserve">Rated efficiency (%)</t>
  </si>
  <si>
    <t xml:space="preserve">Vendor B highest efficiency</t>
  </si>
  <si>
    <t xml:space="preserve">Warranty period (months)</t>
  </si>
  <si>
    <t xml:space="preserve">Annual AMC cost after warranty (Rs.)</t>
  </si>
  <si>
    <t xml:space="preserve">Per set, post-warranty</t>
  </si>
  <si>
    <t xml:space="preserve">Spares kit (2 yrs) price (Rs.)</t>
  </si>
  <si>
    <t xml:space="preserve">Recommended spares per vendor</t>
  </si>
  <si>
    <t xml:space="preserve">Delivery lead time (weeks)</t>
  </si>
  <si>
    <t xml:space="preserve">10-Year Total Cost of Ownership Comparison</t>
  </si>
  <si>
    <t xml:space="preserve">Cost Component</t>
  </si>
  <si>
    <t xml:space="preserve">Capital Cost</t>
  </si>
  <si>
    <t xml:space="preserve">Equipment + Freight + Install, all sets</t>
  </si>
  <si>
    <t xml:space="preserve">Spares kit, all sets</t>
  </si>
  <si>
    <t xml:space="preserve">Subtotal - Capital Cost</t>
  </si>
  <si>
    <t xml:space="preserve">Operating Cost (10-year, undiscounted)</t>
  </si>
  <si>
    <t xml:space="preserve">Annual energy cost per set (Rs.)</t>
  </si>
  <si>
    <t xml:space="preserve">10-yr energy cost, all sets</t>
  </si>
  <si>
    <t xml:space="preserve">10-yr AMC cost, all sets (post-warranty years)</t>
  </si>
  <si>
    <t xml:space="preserve">Subtotal - 10-yr Operating Cost</t>
  </si>
  <si>
    <t xml:space="preserve">TOTAL COST OF OWNERSHIP (10-yr)</t>
  </si>
  <si>
    <t xml:space="preserve">Ranking (1 = lowest TCO)</t>
  </si>
  <si>
    <t xml:space="preserve">Assumption: energy cost = rated power x efficiency-adjusted load x tariff x hours; </t>
  </si>
  <si>
    <t xml:space="preserve">AMC applies for years remaining after each vendor's warranty period. Figures are illustrative test data, not actual vendor quotes.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</si>
</sst>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&quot;Rs. &quot;#,##0.00&quot;/kWh&quot;"/>
    <numFmt numFmtId="167" formatCode="#,##0"/>
    <numFmt numFmtId="168" formatCode="&quot;Rs. &quot;#,##0.00"/>
    <numFmt numFmtId="169" formatCode="\$#,##0;&quot;($&quot;#,##0\);\-"/>
    <numFmt numFmtId="170" formatCode="General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.5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</v>
      </c>
    </row>
    <row r="6" customFormat="false" ht="15" hidden="false" customHeight="false" outlineLevel="0" collapsed="false">
      <c r="A6" s="4" t="s">
        <v>4</v>
      </c>
      <c r="B6" s="5" t="n">
        <v>10</v>
      </c>
    </row>
    <row r="7" customFormat="false" ht="15" hidden="false" customHeight="false" outlineLevel="0" collapsed="false">
      <c r="A7" s="4" t="s">
        <v>5</v>
      </c>
      <c r="B7" s="6" t="n">
        <v>0.1</v>
      </c>
    </row>
    <row r="8" customFormat="false" ht="15" hidden="false" customHeight="false" outlineLevel="0" collapsed="false">
      <c r="A8" s="4" t="s">
        <v>6</v>
      </c>
      <c r="B8" s="7" t="n">
        <v>8.5</v>
      </c>
    </row>
    <row r="9" customFormat="false" ht="15" hidden="false" customHeight="false" outlineLevel="0" collapsed="false">
      <c r="A9" s="4" t="s">
        <v>7</v>
      </c>
      <c r="B9" s="8" t="n">
        <v>8000</v>
      </c>
    </row>
    <row r="10" customFormat="false" ht="15" hidden="false" customHeight="false" outlineLevel="0" collapsed="false">
      <c r="A10" s="4" t="s">
        <v>8</v>
      </c>
      <c r="B10" s="9" t="n">
        <v>84</v>
      </c>
    </row>
    <row r="12" customFormat="false" ht="15" hidden="false" customHeight="false" outlineLevel="0" collapsed="false">
      <c r="A12" s="1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0"/>
  </cols>
  <sheetData>
    <row r="2" customFormat="false" ht="23.85" hidden="false" customHeight="false" outlineLevel="0" collapsed="false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</row>
    <row r="3" customFormat="false" ht="15" hidden="false" customHeight="false" outlineLevel="0" collapsed="false">
      <c r="A3" s="4" t="s">
        <v>15</v>
      </c>
      <c r="B3" s="12" t="n">
        <v>1850000</v>
      </c>
      <c r="C3" s="12" t="n">
        <v>2100000</v>
      </c>
      <c r="D3" s="12" t="n">
        <v>1720000</v>
      </c>
      <c r="E3" s="13" t="s">
        <v>16</v>
      </c>
    </row>
    <row r="4" customFormat="false" ht="15" hidden="false" customHeight="false" outlineLevel="0" collapsed="false">
      <c r="A4" s="4" t="s">
        <v>17</v>
      </c>
      <c r="B4" s="12" t="n">
        <v>25000</v>
      </c>
      <c r="C4" s="12" t="n">
        <v>95000</v>
      </c>
      <c r="D4" s="12" t="n">
        <v>30000</v>
      </c>
      <c r="E4" s="13" t="s">
        <v>18</v>
      </c>
    </row>
    <row r="5" customFormat="false" ht="15" hidden="false" customHeight="false" outlineLevel="0" collapsed="false">
      <c r="A5" s="4" t="s">
        <v>19</v>
      </c>
      <c r="B5" s="12" t="n">
        <v>120000</v>
      </c>
      <c r="C5" s="12" t="n">
        <v>150000</v>
      </c>
      <c r="D5" s="12" t="n">
        <v>110000</v>
      </c>
      <c r="E5" s="13"/>
    </row>
    <row r="6" customFormat="false" ht="15" hidden="false" customHeight="false" outlineLevel="0" collapsed="false">
      <c r="A6" s="4" t="s">
        <v>20</v>
      </c>
      <c r="B6" s="14" t="n">
        <f aca="false">Assumptions!$B$5</f>
        <v>2</v>
      </c>
      <c r="C6" s="14" t="n">
        <f aca="false">Assumptions!$B$5</f>
        <v>2</v>
      </c>
      <c r="D6" s="14" t="n">
        <f aca="false">Assumptions!$B$5</f>
        <v>2</v>
      </c>
      <c r="E6" s="13" t="s">
        <v>21</v>
      </c>
    </row>
    <row r="7" customFormat="false" ht="15" hidden="false" customHeight="false" outlineLevel="0" collapsed="false">
      <c r="A7" s="4" t="s">
        <v>22</v>
      </c>
      <c r="B7" s="15" t="n">
        <v>45</v>
      </c>
      <c r="C7" s="15" t="n">
        <v>42</v>
      </c>
      <c r="D7" s="15" t="n">
        <v>47</v>
      </c>
      <c r="E7" s="13" t="s">
        <v>23</v>
      </c>
    </row>
    <row r="8" customFormat="false" ht="15" hidden="false" customHeight="false" outlineLevel="0" collapsed="false">
      <c r="A8" s="4" t="s">
        <v>24</v>
      </c>
      <c r="B8" s="16" t="n">
        <v>0.78</v>
      </c>
      <c r="C8" s="16" t="n">
        <v>0.84</v>
      </c>
      <c r="D8" s="16" t="n">
        <v>0.76</v>
      </c>
      <c r="E8" s="13" t="s">
        <v>25</v>
      </c>
    </row>
    <row r="9" customFormat="false" ht="15" hidden="false" customHeight="false" outlineLevel="0" collapsed="false">
      <c r="A9" s="4" t="s">
        <v>26</v>
      </c>
      <c r="B9" s="15" t="n">
        <v>12</v>
      </c>
      <c r="C9" s="15" t="n">
        <v>24</v>
      </c>
      <c r="D9" s="15" t="n">
        <v>12</v>
      </c>
      <c r="E9" s="13"/>
    </row>
    <row r="10" customFormat="false" ht="15" hidden="false" customHeight="false" outlineLevel="0" collapsed="false">
      <c r="A10" s="4" t="s">
        <v>27</v>
      </c>
      <c r="B10" s="12" t="n">
        <v>65000</v>
      </c>
      <c r="C10" s="12" t="n">
        <v>55000</v>
      </c>
      <c r="D10" s="12" t="n">
        <v>70000</v>
      </c>
      <c r="E10" s="13" t="s">
        <v>28</v>
      </c>
    </row>
    <row r="11" customFormat="false" ht="15" hidden="false" customHeight="false" outlineLevel="0" collapsed="false">
      <c r="A11" s="4" t="s">
        <v>29</v>
      </c>
      <c r="B11" s="12" t="n">
        <v>180000</v>
      </c>
      <c r="C11" s="12" t="n">
        <v>240000</v>
      </c>
      <c r="D11" s="12" t="n">
        <v>165000</v>
      </c>
      <c r="E11" s="13" t="s">
        <v>30</v>
      </c>
    </row>
    <row r="12" customFormat="false" ht="15" hidden="false" customHeight="false" outlineLevel="0" collapsed="false">
      <c r="A12" s="4" t="s">
        <v>31</v>
      </c>
      <c r="B12" s="15" t="n">
        <v>10</v>
      </c>
      <c r="C12" s="15" t="n">
        <v>16</v>
      </c>
      <c r="D12" s="15" t="n">
        <v>8</v>
      </c>
      <c r="E1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2"/>
  </cols>
  <sheetData>
    <row r="1" customFormat="false" ht="16.15" hidden="false" customHeight="false" outlineLevel="0" collapsed="false">
      <c r="A1" s="1" t="s">
        <v>32</v>
      </c>
    </row>
    <row r="3" customFormat="false" ht="23.85" hidden="false" customHeight="false" outlineLevel="0" collapsed="false">
      <c r="A3" s="11" t="s">
        <v>33</v>
      </c>
      <c r="B3" s="11" t="s">
        <v>11</v>
      </c>
      <c r="C3" s="11" t="s">
        <v>12</v>
      </c>
      <c r="D3" s="11" t="s">
        <v>13</v>
      </c>
    </row>
    <row r="4" customFormat="false" ht="15" hidden="false" customHeight="false" outlineLevel="0" collapsed="false">
      <c r="A4" s="3" t="s">
        <v>34</v>
      </c>
    </row>
    <row r="5" customFormat="false" ht="15" hidden="false" customHeight="false" outlineLevel="0" collapsed="false">
      <c r="A5" s="4" t="s">
        <v>35</v>
      </c>
      <c r="B5" s="17" t="n">
        <f aca="false">('Vendor Quotes'!B3+'Vendor Quotes'!B4+'Vendor Quotes'!B5)*'Vendor Quotes'!B6</f>
        <v>3990000</v>
      </c>
      <c r="C5" s="17" t="n">
        <f aca="false">('Vendor Quotes'!C3+'Vendor Quotes'!C4+'Vendor Quotes'!C5)*'Vendor Quotes'!C6</f>
        <v>4690000</v>
      </c>
      <c r="D5" s="17" t="n">
        <f aca="false">('Vendor Quotes'!D3+'Vendor Quotes'!D4+'Vendor Quotes'!D5)*'Vendor Quotes'!D6</f>
        <v>3720000</v>
      </c>
    </row>
    <row r="6" customFormat="false" ht="15" hidden="false" customHeight="false" outlineLevel="0" collapsed="false">
      <c r="A6" s="4" t="s">
        <v>36</v>
      </c>
      <c r="B6" s="17" t="n">
        <f aca="false">'Vendor Quotes'!B11*'Vendor Quotes'!B6</f>
        <v>360000</v>
      </c>
      <c r="C6" s="17" t="n">
        <f aca="false">'Vendor Quotes'!C11*'Vendor Quotes'!C6</f>
        <v>480000</v>
      </c>
      <c r="D6" s="17" t="n">
        <f aca="false">'Vendor Quotes'!D11*'Vendor Quotes'!D6</f>
        <v>330000</v>
      </c>
    </row>
    <row r="7" customFormat="false" ht="15" hidden="false" customHeight="false" outlineLevel="0" collapsed="false">
      <c r="A7" s="18" t="s">
        <v>37</v>
      </c>
      <c r="B7" s="19" t="n">
        <f aca="false">SUM(B5:B6)</f>
        <v>4350000</v>
      </c>
      <c r="C7" s="19" t="n">
        <f aca="false">SUM(C5:C6)</f>
        <v>5170000</v>
      </c>
      <c r="D7" s="19" t="n">
        <f aca="false">SUM(D5:D6)</f>
        <v>4050000</v>
      </c>
    </row>
    <row r="9" customFormat="false" ht="15" hidden="false" customHeight="false" outlineLevel="0" collapsed="false">
      <c r="A9" s="3" t="s">
        <v>38</v>
      </c>
    </row>
    <row r="10" customFormat="false" ht="15" hidden="false" customHeight="false" outlineLevel="0" collapsed="false">
      <c r="A10" s="4" t="s">
        <v>39</v>
      </c>
      <c r="B10" s="17" t="n">
        <f aca="false">'Vendor Quotes'!B7*Assumptions!$B$9*Assumptions!$B$8</f>
        <v>3060000</v>
      </c>
      <c r="C10" s="17" t="n">
        <f aca="false">'Vendor Quotes'!C7*Assumptions!$B$9*Assumptions!$B$8</f>
        <v>2856000</v>
      </c>
      <c r="D10" s="17" t="n">
        <f aca="false">'Vendor Quotes'!D7*Assumptions!$B$9*Assumptions!$B$8</f>
        <v>3196000</v>
      </c>
    </row>
    <row r="11" customFormat="false" ht="15" hidden="false" customHeight="false" outlineLevel="0" collapsed="false">
      <c r="A11" s="4" t="s">
        <v>40</v>
      </c>
      <c r="B11" s="17" t="n">
        <f aca="false">B10*'Vendor Quotes'!B6*Assumptions!$B$6</f>
        <v>61200000</v>
      </c>
      <c r="C11" s="17" t="n">
        <f aca="false">C10*'Vendor Quotes'!C6*Assumptions!$B$6</f>
        <v>57120000</v>
      </c>
      <c r="D11" s="17" t="n">
        <f aca="false">D10*'Vendor Quotes'!D6*Assumptions!$B$6</f>
        <v>63920000</v>
      </c>
    </row>
    <row r="12" customFormat="false" ht="15" hidden="false" customHeight="false" outlineLevel="0" collapsed="false">
      <c r="A12" s="4" t="s">
        <v>41</v>
      </c>
      <c r="B12" s="17" t="n">
        <f aca="false">'Vendor Quotes'!B10*'Vendor Quotes'!B6*(Assumptions!$B$6-'Vendor Quotes'!B9/12)</f>
        <v>1170000</v>
      </c>
      <c r="C12" s="17" t="n">
        <f aca="false">'Vendor Quotes'!C10*'Vendor Quotes'!C6*(Assumptions!$B$6-'Vendor Quotes'!C9/12)</f>
        <v>880000</v>
      </c>
      <c r="D12" s="17" t="n">
        <f aca="false">'Vendor Quotes'!D10*'Vendor Quotes'!D6*(Assumptions!$B$6-'Vendor Quotes'!D9/12)</f>
        <v>1260000</v>
      </c>
    </row>
    <row r="13" customFormat="false" ht="15" hidden="false" customHeight="false" outlineLevel="0" collapsed="false">
      <c r="A13" s="18" t="s">
        <v>42</v>
      </c>
      <c r="B13" s="19" t="n">
        <f aca="false">SUM(B10:B12)-B10</f>
        <v>62370000</v>
      </c>
      <c r="C13" s="19" t="n">
        <f aca="false">SUM(C10:C12)-C10</f>
        <v>58000000</v>
      </c>
      <c r="D13" s="19" t="n">
        <f aca="false">SUM(D10:D12)-D10</f>
        <v>65180000</v>
      </c>
    </row>
    <row r="15" customFormat="false" ht="15" hidden="false" customHeight="false" outlineLevel="0" collapsed="false">
      <c r="A15" s="20" t="s">
        <v>43</v>
      </c>
      <c r="B15" s="21" t="n">
        <f aca="false">B7+B13</f>
        <v>66720000</v>
      </c>
      <c r="C15" s="21" t="n">
        <f aca="false">C7+C13</f>
        <v>63170000</v>
      </c>
      <c r="D15" s="21" t="n">
        <f aca="false">D7+D13</f>
        <v>69230000</v>
      </c>
    </row>
    <row r="17" customFormat="false" ht="15" hidden="false" customHeight="false" outlineLevel="0" collapsed="false">
      <c r="A17" s="4" t="s">
        <v>44</v>
      </c>
      <c r="B17" s="22" t="n">
        <f aca="false">RANK(B15,$B$15:$D$15,1)</f>
        <v>2</v>
      </c>
      <c r="C17" s="22" t="n">
        <f aca="false">RANK(C15,$B$15:$D$15,1)</f>
        <v>1</v>
      </c>
      <c r="D17" s="22" t="n">
        <f aca="false">RANK(D15,$B$15:$D$15,1)</f>
        <v>3</v>
      </c>
    </row>
    <row r="20" customFormat="false" ht="15" hidden="false" customHeight="false" outlineLevel="0" collapsed="false">
      <c r="A20" s="10" t="s">
        <v>45</v>
      </c>
    </row>
    <row r="21" customFormat="false" ht="15" hidden="false" customHeight="false" outlineLevel="0" collapsed="false">
      <c r="A21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2026-09-12T03:10:17Z</dcterms:created>
  <dc:creator>openpyxl</dc:creator>
  <dc:description/>
  <dc:language>en-US</dc:language>
  <cp:lastModifiedBy/>
  <dcterms:modified xsi:type="dcterms:W3CDTF">2026-09-12T03:10:17Z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